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ummary"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<sst xmlns="http://schemas.openxmlformats.org/spreadsheetml/2006/main" uniqueCount="37">
  <si>
    <t xml:space="preserve">                 DENTAL NETWORK COMPANY</t>
  </si>
  <si>
    <t xml:space="preserve">                       Unit P (Ground Floor), Facilities Centre, 548 Shaw Boulevard, Mandaluyong City</t>
  </si>
  <si>
    <t xml:space="preserve">                       Tel no.: (02) 911-7777 ; Telefax: (02) 535-7144 ; Mobile no.: 0916-761-5277</t>
  </si>
  <si>
    <t>ATTENTION     :</t>
  </si>
  <si>
    <t>CLAIMS DEPARTMENT</t>
  </si>
  <si>
    <t>ASALUS CORPORATION  (INTELLICARE)</t>
  </si>
  <si>
    <t>RE                   :</t>
  </si>
  <si>
    <t>SUMMARY OF BILLING - SEPTEMBER 2025</t>
  </si>
  <si>
    <t>DATE:</t>
  </si>
  <si>
    <t>E-SOA No. 83N-2025</t>
  </si>
  <si>
    <t>SOA Number</t>
  </si>
  <si>
    <t>Name of Company</t>
  </si>
  <si>
    <t>Account Nos.</t>
  </si>
  <si>
    <t xml:space="preserve">Number of  Members </t>
  </si>
  <si>
    <t>Mode</t>
  </si>
  <si>
    <t>Dental Benefits</t>
  </si>
  <si>
    <t>Effectivity period</t>
  </si>
  <si>
    <t>RATE
(exclusive of 12% VAT)</t>
  </si>
  <si>
    <t>12 % VAT</t>
  </si>
  <si>
    <t>Price / Member
(inclusive of 12% VAT)</t>
  </si>
  <si>
    <t>Total Amount Due
(inclusive of 12% VAT)</t>
  </si>
  <si>
    <t>paid</t>
  </si>
  <si>
    <t>GRAND TOTAL:</t>
  </si>
  <si>
    <t>Prepared by:</t>
  </si>
  <si>
    <t>Checked by:</t>
  </si>
  <si>
    <t>Noted By:</t>
  </si>
  <si>
    <t xml:space="preserve">                                                                                                                                                                                                                                                                                                                                                                                                                                                                                                                                                                                                                                                                                                                                                                                                                                                                                                                                                                                                                                                                                                                                                                                                                                                                                                                                                                                                                                                                                                                                                                                                                                                                                                                                                                                                                                                                                                                                                                                                                                                                                                                                                                                                                                                                                                 </t>
  </si>
  <si>
    <t>___________________</t>
  </si>
  <si>
    <t>_________________________</t>
  </si>
  <si>
    <t>BRIAN MOJICA</t>
  </si>
  <si>
    <t>MHENIE M. ZAPANTA</t>
  </si>
  <si>
    <t>DR. LUIS CARLOS B. NAVARRO</t>
  </si>
  <si>
    <t>Billing Officer</t>
  </si>
  <si>
    <t>Operation Head &amp; Supervisor</t>
  </si>
  <si>
    <t>Managing Partner</t>
  </si>
  <si>
    <t>IMPORTANT NOTICE:</t>
  </si>
  <si>
    <t>Kindly review this statement of account.
Asalus Corporation shall bear the responsibility to immediately notify DNC for any errors in this billing statement, and include its basis for such error(s). Failure by Asalus Corporation to immediately and duly notify DNC regarding errors in billing statements and within a period not exceeding TEN (10) days from receipt of billing will signify that Asalus Corporation acknowledges the accuracy of the billing statement and agrees to pay the billed amount to DNC without further delay.</t>
  </si>
</sst>
</file>

<file path=xl/styles.xml><?xml version="1.0" encoding="utf-8"?>
<styleSheet xmlns="http://schemas.openxmlformats.org/spreadsheetml/2006/main">
  <numFmts count="3">
    <numFmt numFmtId="0" formatCode="General"/>
    <numFmt numFmtId="59" formatCode="&quot; &quot;* #,##0.00&quot; &quot;;&quot; &quot;* (#,##0.00);&quot; &quot;* &quot;-&quot;??&quot; &quot;"/>
    <numFmt numFmtId="60" formatCode="#,##0&quot; &quot;;(#,##0)"/>
  </numFmts>
  <fonts count="12">
    <font>
      <sz val="11"/>
      <color indexed="8"/>
      <name val="Calibri"/>
    </font>
    <font>
      <sz val="12"/>
      <color indexed="8"/>
      <name val="Helvetica Neue"/>
    </font>
    <font>
      <sz val="15"/>
      <color indexed="8"/>
      <name val="Calibri"/>
    </font>
    <font>
      <b val="1"/>
      <sz val="14"/>
      <color indexed="8"/>
      <name val="Calibri"/>
    </font>
    <font>
      <b val="1"/>
      <sz val="12"/>
      <color indexed="8"/>
      <name val="Calibri"/>
    </font>
    <font>
      <sz val="12"/>
      <color indexed="8"/>
      <name val="Calibri"/>
    </font>
    <font>
      <b val="1"/>
      <sz val="13"/>
      <color indexed="8"/>
      <name val="Calibri"/>
    </font>
    <font>
      <sz val="13"/>
      <color indexed="8"/>
      <name val="Calibri"/>
    </font>
    <font>
      <sz val="11"/>
      <color indexed="12"/>
      <name val="Calibri"/>
    </font>
    <font>
      <b val="1"/>
      <sz val="15"/>
      <color indexed="8"/>
      <name val="Calibri"/>
    </font>
    <font>
      <b val="1"/>
      <sz val="11"/>
      <color indexed="8"/>
      <name val="Calibri"/>
    </font>
    <font>
      <b val="1"/>
      <i val="1"/>
      <sz val="12"/>
      <color indexed="8"/>
      <name val="Calibri"/>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ck">
        <color indexed="8"/>
      </bottom>
      <diagonal/>
    </border>
    <border>
      <left style="thin">
        <color indexed="10"/>
      </left>
      <right style="thin">
        <color indexed="10"/>
      </right>
      <top style="thick">
        <color indexed="8"/>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ck">
        <color indexed="8"/>
      </bottom>
      <diagonal/>
    </border>
    <border>
      <left style="thin">
        <color indexed="10"/>
      </left>
      <right style="thin">
        <color indexed="10"/>
      </right>
      <top style="thick">
        <color indexed="8"/>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5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center"/>
    </xf>
    <xf numFmtId="0" fontId="0" fillId="2" borderId="1" applyNumberFormat="0" applyFont="1" applyFill="1" applyBorder="1" applyAlignment="1" applyProtection="0">
      <alignment vertical="center" wrapText="1"/>
    </xf>
    <xf numFmtId="49" fontId="3" fillId="2" borderId="1" applyNumberFormat="1" applyFont="1" applyFill="1" applyBorder="1" applyAlignment="1" applyProtection="0">
      <alignment vertical="center"/>
    </xf>
    <xf numFmtId="0" fontId="3" fillId="2" borderId="1" applyNumberFormat="0" applyFont="1" applyFill="1" applyBorder="1" applyAlignment="1" applyProtection="0">
      <alignment vertical="center"/>
    </xf>
    <xf numFmtId="49" fontId="0" fillId="2" borderId="1" applyNumberFormat="1" applyFont="1" applyFill="1" applyBorder="1" applyAlignment="1" applyProtection="0">
      <alignment vertical="center"/>
    </xf>
    <xf numFmtId="0" fontId="0" fillId="2" borderId="2" applyNumberFormat="0" applyFont="1" applyFill="1" applyBorder="1" applyAlignment="1" applyProtection="0">
      <alignment vertical="center"/>
    </xf>
    <xf numFmtId="0" fontId="0" fillId="2" borderId="2" applyNumberFormat="0" applyFont="1" applyFill="1" applyBorder="1" applyAlignment="1" applyProtection="0">
      <alignment vertical="center" wrapText="1"/>
    </xf>
    <xf numFmtId="0" fontId="0" fillId="2" borderId="3" applyNumberFormat="0" applyFont="1" applyFill="1" applyBorder="1" applyAlignment="1" applyProtection="0">
      <alignment vertical="center"/>
    </xf>
    <xf numFmtId="0" fontId="0" fillId="2" borderId="3" applyNumberFormat="0" applyFont="1" applyFill="1" applyBorder="1" applyAlignment="1" applyProtection="0">
      <alignment vertical="center" wrapText="1"/>
    </xf>
    <xf numFmtId="49" fontId="4" fillId="2" borderId="1" applyNumberFormat="1" applyFont="1" applyFill="1" applyBorder="1" applyAlignment="1" applyProtection="0">
      <alignment vertical="center"/>
    </xf>
    <xf numFmtId="49" fontId="4" fillId="2" borderId="1" applyNumberFormat="1" applyFont="1" applyFill="1" applyBorder="1" applyAlignment="1" applyProtection="0">
      <alignment vertical="center" wrapText="1"/>
    </xf>
    <xf numFmtId="0" fontId="4" fillId="2" borderId="1" applyNumberFormat="0" applyFont="1" applyFill="1" applyBorder="1" applyAlignment="1" applyProtection="0">
      <alignment vertical="center" wrapText="1"/>
    </xf>
    <xf numFmtId="0" fontId="4" fillId="2" borderId="1" applyNumberFormat="0" applyFont="1" applyFill="1" applyBorder="1" applyAlignment="1" applyProtection="0">
      <alignment vertical="center"/>
    </xf>
    <xf numFmtId="0" fontId="5" fillId="2" borderId="1" applyNumberFormat="0" applyFont="1" applyFill="1" applyBorder="1" applyAlignment="1" applyProtection="0">
      <alignment vertical="center" wrapText="1"/>
    </xf>
    <xf numFmtId="49" fontId="3" fillId="2" borderId="4" applyNumberFormat="1" applyFont="1" applyFill="1" applyBorder="1" applyAlignment="1" applyProtection="0">
      <alignment vertical="center"/>
    </xf>
    <xf numFmtId="14" fontId="4" fillId="2" borderId="1" applyNumberFormat="1" applyFont="1" applyFill="1" applyBorder="1" applyAlignment="1" applyProtection="0">
      <alignment horizontal="right" vertical="center"/>
    </xf>
    <xf numFmtId="0" fontId="0" fillId="2" borderId="5" applyNumberFormat="0" applyFont="1" applyFill="1" applyBorder="1" applyAlignment="1" applyProtection="0">
      <alignment vertical="center"/>
    </xf>
    <xf numFmtId="49" fontId="3" fillId="3" borderId="6" applyNumberFormat="1" applyFont="1" applyFill="1" applyBorder="1" applyAlignment="1" applyProtection="0">
      <alignment horizontal="left" vertical="center" wrapText="1"/>
    </xf>
    <xf numFmtId="0" fontId="3" fillId="2" borderId="7" applyNumberFormat="0" applyFont="1" applyFill="1" applyBorder="1" applyAlignment="1" applyProtection="0">
      <alignment vertical="center"/>
    </xf>
    <xf numFmtId="14" fontId="4" fillId="2" borderId="1" applyNumberFormat="1" applyFont="1" applyFill="1" applyBorder="1" applyAlignment="1" applyProtection="0">
      <alignment horizontal="left" vertical="center"/>
    </xf>
    <xf numFmtId="0" fontId="0" fillId="2" borderId="8" applyNumberFormat="0" applyFont="1" applyFill="1" applyBorder="1" applyAlignment="1" applyProtection="0">
      <alignment vertical="center" wrapText="1"/>
    </xf>
    <xf numFmtId="0" fontId="0" fillId="2" borderId="9" applyNumberFormat="0" applyFont="1" applyFill="1" applyBorder="1" applyAlignment="1" applyProtection="0">
      <alignment vertical="center"/>
    </xf>
    <xf numFmtId="0" fontId="0" fillId="2" borderId="9" applyNumberFormat="0" applyFont="1" applyFill="1" applyBorder="1" applyAlignment="1" applyProtection="0">
      <alignment vertical="center" wrapText="1"/>
    </xf>
    <xf numFmtId="0" fontId="0" fillId="2" borderId="10" applyNumberFormat="0" applyFont="1" applyFill="1" applyBorder="1" applyAlignment="1" applyProtection="0">
      <alignment vertical="center"/>
    </xf>
    <xf numFmtId="0" fontId="4" fillId="2" borderId="11" applyNumberFormat="0" applyFont="1" applyFill="1" applyBorder="1" applyAlignment="1" applyProtection="0">
      <alignment horizontal="center" vertical="center"/>
    </xf>
    <xf numFmtId="49" fontId="4" fillId="2" borderId="11" applyNumberFormat="1" applyFont="1" applyFill="1" applyBorder="1" applyAlignment="1" applyProtection="0">
      <alignment horizontal="center" vertical="center"/>
    </xf>
    <xf numFmtId="49" fontId="4" fillId="2" borderId="11" applyNumberFormat="1" applyFont="1" applyFill="1" applyBorder="1" applyAlignment="1" applyProtection="0">
      <alignment horizontal="center" vertical="center" wrapText="1"/>
    </xf>
    <xf numFmtId="0" fontId="0" fillId="2" borderId="12" applyNumberFormat="0" applyFont="1" applyFill="1" applyBorder="1" applyAlignment="1" applyProtection="0">
      <alignment vertical="center"/>
    </xf>
    <xf numFmtId="0" fontId="6" fillId="2" borderId="11" applyNumberFormat="0" applyFont="1" applyFill="1" applyBorder="1" applyAlignment="1" applyProtection="0">
      <alignment horizontal="center" vertical="center"/>
    </xf>
    <xf numFmtId="49" fontId="7" fillId="2" borderId="11" applyNumberFormat="1" applyFont="1" applyFill="1" applyBorder="1" applyAlignment="1" applyProtection="0">
      <alignment vertical="center" wrapText="1"/>
    </xf>
    <xf numFmtId="49" fontId="7" fillId="2" borderId="11" applyNumberFormat="1" applyFont="1" applyFill="1" applyBorder="1" applyAlignment="1" applyProtection="0">
      <alignment horizontal="center" vertical="center" wrapText="1"/>
    </xf>
    <xf numFmtId="0" fontId="7" fillId="2" borderId="11" applyNumberFormat="0" applyFont="1" applyFill="1" applyBorder="1" applyAlignment="1" applyProtection="0">
      <alignment horizontal="center" vertical="center"/>
    </xf>
    <xf numFmtId="49" fontId="7" fillId="2" borderId="11" applyNumberFormat="1" applyFont="1" applyFill="1" applyBorder="1" applyAlignment="1" applyProtection="0">
      <alignment horizontal="left" vertical="center" wrapText="1"/>
    </xf>
    <xf numFmtId="59" fontId="7" fillId="2" borderId="11" applyNumberFormat="1" applyFont="1" applyFill="1" applyBorder="1" applyAlignment="1" applyProtection="0">
      <alignment horizontal="center" vertical="center" wrapText="1"/>
    </xf>
    <xf numFmtId="59" fontId="7" fillId="3" borderId="11" applyNumberFormat="1" applyFont="1" applyFill="1" applyBorder="1" applyAlignment="1" applyProtection="0">
      <alignment horizontal="center" vertical="center"/>
    </xf>
    <xf numFmtId="49" fontId="8" fillId="2" borderId="12" applyNumberFormat="1" applyFont="1" applyFill="1" applyBorder="1" applyAlignment="1" applyProtection="0">
      <alignment horizontal="center" vertical="center"/>
    </xf>
    <xf numFmtId="0" fontId="8" fillId="2" borderId="1" applyNumberFormat="0" applyFont="1" applyFill="1" applyBorder="1" applyAlignment="1" applyProtection="0">
      <alignment horizontal="center" vertical="center"/>
    </xf>
    <xf numFmtId="49" fontId="9" fillId="2" borderId="11" applyNumberFormat="1" applyFont="1" applyFill="1" applyBorder="1" applyAlignment="1" applyProtection="0">
      <alignment horizontal="right" vertical="center"/>
    </xf>
    <xf numFmtId="0" fontId="9" fillId="2" borderId="11" applyNumberFormat="0" applyFont="1" applyFill="1" applyBorder="1" applyAlignment="1" applyProtection="0">
      <alignment horizontal="right" vertical="center"/>
    </xf>
    <xf numFmtId="60" fontId="9" fillId="2" borderId="11" applyNumberFormat="1" applyFont="1" applyFill="1" applyBorder="1" applyAlignment="1" applyProtection="0">
      <alignment horizontal="center" vertical="center"/>
    </xf>
    <xf numFmtId="0" fontId="9" fillId="2" borderId="11" applyNumberFormat="0" applyFont="1" applyFill="1" applyBorder="1" applyAlignment="1" applyProtection="0">
      <alignment vertical="center"/>
    </xf>
    <xf numFmtId="59" fontId="9" fillId="2" borderId="11" applyNumberFormat="1" applyFont="1" applyFill="1" applyBorder="1" applyAlignment="1" applyProtection="0">
      <alignment horizontal="center" vertical="center"/>
    </xf>
    <xf numFmtId="0" fontId="0" fillId="2" borderId="13" applyNumberFormat="0" applyFont="1" applyFill="1" applyBorder="1" applyAlignment="1" applyProtection="0">
      <alignment vertical="center"/>
    </xf>
    <xf numFmtId="0" fontId="0" fillId="2" borderId="13" applyNumberFormat="0" applyFont="1" applyFill="1" applyBorder="1" applyAlignment="1" applyProtection="0">
      <alignment vertical="center" wrapText="1"/>
    </xf>
    <xf numFmtId="1" fontId="0" fillId="2" borderId="13" applyNumberFormat="1" applyFont="1" applyFill="1" applyBorder="1" applyAlignment="1" applyProtection="0">
      <alignment vertical="center"/>
    </xf>
    <xf numFmtId="49" fontId="0" fillId="2" borderId="1" applyNumberFormat="1" applyFont="1" applyFill="1" applyBorder="1" applyAlignment="1" applyProtection="0">
      <alignment horizontal="center" vertical="bottom"/>
    </xf>
    <xf numFmtId="0" fontId="0" fillId="2" borderId="1" applyNumberFormat="0" applyFont="1" applyFill="1" applyBorder="1" applyAlignment="1" applyProtection="0">
      <alignment horizontal="center" vertical="bottom"/>
    </xf>
    <xf numFmtId="49"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0" fontId="0" fillId="2" borderId="14" applyNumberFormat="0" applyFont="1" applyFill="1" applyBorder="1" applyAlignment="1" applyProtection="0">
      <alignment vertical="bottom"/>
    </xf>
    <xf numFmtId="49" fontId="10" fillId="2" borderId="1" applyNumberFormat="1" applyFont="1" applyFill="1" applyBorder="1" applyAlignment="1" applyProtection="0">
      <alignment horizontal="center" vertical="bottom"/>
    </xf>
    <xf numFmtId="0" fontId="10" fillId="2" borderId="1" applyNumberFormat="0" applyFont="1" applyFill="1" applyBorder="1" applyAlignment="1" applyProtection="0">
      <alignment horizontal="center" vertical="bottom"/>
    </xf>
    <xf numFmtId="49" fontId="10" fillId="2" borderId="13" applyNumberFormat="1" applyFont="1" applyFill="1" applyBorder="1" applyAlignment="1" applyProtection="0">
      <alignment vertical="bottom"/>
    </xf>
    <xf numFmtId="0" fontId="10" fillId="2" borderId="1" applyNumberFormat="0" applyFont="1" applyFill="1" applyBorder="1" applyAlignment="1" applyProtection="0">
      <alignment vertical="bottom"/>
    </xf>
    <xf numFmtId="49" fontId="4" fillId="2" borderId="1" applyNumberFormat="1" applyFont="1" applyFill="1" applyBorder="1" applyAlignment="1" applyProtection="0">
      <alignment horizontal="left" vertical="center"/>
    </xf>
    <xf numFmtId="49" fontId="11" fillId="2" borderId="1" applyNumberFormat="1" applyFont="1" applyFill="1" applyBorder="1" applyAlignment="1" applyProtection="0">
      <alignment horizontal="left" vertical="center" wrapText="1"/>
    </xf>
    <xf numFmtId="0" fontId="11" fillId="2" borderId="1" applyNumberFormat="0" applyFont="1" applyFill="1" applyBorder="1" applyAlignment="1" applyProtection="0">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ff00"/>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223553</xdr:colOff>
      <xdr:row>20</xdr:row>
      <xdr:rowOff>168088</xdr:rowOff>
    </xdr:from>
    <xdr:to>
      <xdr:col>3</xdr:col>
      <xdr:colOff>1239089</xdr:colOff>
      <xdr:row>24</xdr:row>
      <xdr:rowOff>61071</xdr:rowOff>
    </xdr:to>
    <xdr:pic>
      <xdr:nvPicPr>
        <xdr:cNvPr id="2" name="Picture 1" descr="Picture 1"/>
        <xdr:cNvPicPr>
          <a:picLocks noChangeAspect="1"/>
        </xdr:cNvPicPr>
      </xdr:nvPicPr>
      <xdr:blipFill>
        <a:blip r:embed="rId1">
          <a:extLst/>
        </a:blip>
        <a:stretch>
          <a:fillRect/>
        </a:stretch>
      </xdr:blipFill>
      <xdr:spPr>
        <a:xfrm flipH="1" rot="10800000">
          <a:off x="2395253" y="5759263"/>
          <a:ext cx="1015537" cy="654984"/>
        </a:xfrm>
        <a:prstGeom prst="rect">
          <a:avLst/>
        </a:prstGeom>
        <a:ln w="12700" cap="flat">
          <a:noFill/>
          <a:miter lim="400000"/>
        </a:ln>
        <a:effectLst/>
      </xdr:spPr>
    </xdr:pic>
    <xdr:clientData/>
  </xdr:twoCellAnchor>
  <xdr:twoCellAnchor>
    <xdr:from>
      <xdr:col>2</xdr:col>
      <xdr:colOff>152399</xdr:colOff>
      <xdr:row>0</xdr:row>
      <xdr:rowOff>190498</xdr:rowOff>
    </xdr:from>
    <xdr:to>
      <xdr:col>3</xdr:col>
      <xdr:colOff>333374</xdr:colOff>
      <xdr:row>5</xdr:row>
      <xdr:rowOff>190499</xdr:rowOff>
    </xdr:to>
    <xdr:pic>
      <xdr:nvPicPr>
        <xdr:cNvPr id="3" name="image1.pdf" descr="image1.pdf"/>
        <xdr:cNvPicPr>
          <a:picLocks noChangeAspect="1"/>
        </xdr:cNvPicPr>
      </xdr:nvPicPr>
      <xdr:blipFill>
        <a:blip r:embed="rId2">
          <a:extLst/>
        </a:blip>
        <a:srcRect l="17333" t="17355" r="17332" b="6611"/>
        <a:stretch>
          <a:fillRect/>
        </a:stretch>
      </xdr:blipFill>
      <xdr:spPr>
        <a:xfrm>
          <a:off x="990599" y="190498"/>
          <a:ext cx="1514476" cy="1000127"/>
        </a:xfrm>
        <a:prstGeom prst="rect">
          <a:avLst/>
        </a:prstGeom>
        <a:ln w="12700" cap="flat">
          <a:noFill/>
          <a:miter lim="400000"/>
        </a:ln>
        <a:effectLst/>
      </xdr:spPr>
    </xdr:pic>
    <xdr:clientData/>
  </xdr:twoCellAnchor>
  <xdr:twoCellAnchor>
    <xdr:from>
      <xdr:col>4</xdr:col>
      <xdr:colOff>137297</xdr:colOff>
      <xdr:row>21</xdr:row>
      <xdr:rowOff>94081</xdr:rowOff>
    </xdr:from>
    <xdr:to>
      <xdr:col>5</xdr:col>
      <xdr:colOff>359569</xdr:colOff>
      <xdr:row>23</xdr:row>
      <xdr:rowOff>67095</xdr:rowOff>
    </xdr:to>
    <xdr:pic>
      <xdr:nvPicPr>
        <xdr:cNvPr id="4" name="Picture 5" descr="Picture 5"/>
        <xdr:cNvPicPr>
          <a:picLocks noChangeAspect="1"/>
        </xdr:cNvPicPr>
      </xdr:nvPicPr>
      <xdr:blipFill>
        <a:blip r:embed="rId3">
          <a:extLst/>
        </a:blip>
        <a:stretch>
          <a:fillRect/>
        </a:stretch>
      </xdr:blipFill>
      <xdr:spPr>
        <a:xfrm>
          <a:off x="4975997" y="5875756"/>
          <a:ext cx="1377973" cy="354015"/>
        </a:xfrm>
        <a:prstGeom prst="rect">
          <a:avLst/>
        </a:prstGeom>
        <a:ln w="12700" cap="flat">
          <a:noFill/>
          <a:miter lim="400000"/>
        </a:ln>
        <a:effectLst/>
      </xdr:spPr>
    </xdr:pic>
    <xdr:clientData/>
  </xdr:twoCellAnchor>
  <xdr:twoCellAnchor>
    <xdr:from>
      <xdr:col>7</xdr:col>
      <xdr:colOff>588333</xdr:colOff>
      <xdr:row>21</xdr:row>
      <xdr:rowOff>89296</xdr:rowOff>
    </xdr:from>
    <xdr:to>
      <xdr:col>7</xdr:col>
      <xdr:colOff>2088543</xdr:colOff>
      <xdr:row>23</xdr:row>
      <xdr:rowOff>161923</xdr:rowOff>
    </xdr:to>
    <xdr:pic>
      <xdr:nvPicPr>
        <xdr:cNvPr id="5" name="Picture 6" descr="Picture 6"/>
        <xdr:cNvPicPr>
          <a:picLocks noChangeAspect="1"/>
        </xdr:cNvPicPr>
      </xdr:nvPicPr>
      <xdr:blipFill>
        <a:blip r:embed="rId4">
          <a:extLst/>
        </a:blip>
        <a:stretch>
          <a:fillRect/>
        </a:stretch>
      </xdr:blipFill>
      <xdr:spPr>
        <a:xfrm>
          <a:off x="8271833" y="5870971"/>
          <a:ext cx="1500211" cy="453628"/>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Q31"/>
  <sheetViews>
    <sheetView workbookViewId="0" showGridLines="0" defaultGridColor="1"/>
  </sheetViews>
  <sheetFormatPr defaultColWidth="8.83333" defaultRowHeight="15" customHeight="1" outlineLevelRow="0" outlineLevelCol="0"/>
  <cols>
    <col min="1" max="1" width="4.5" style="1" customWidth="1"/>
    <col min="2" max="2" width="6.5" style="1" customWidth="1"/>
    <col min="3" max="3" width="17.5" style="1" customWidth="1"/>
    <col min="4" max="4" width="35" style="1" customWidth="1"/>
    <col min="5" max="5" width="15.1719" style="1" customWidth="1"/>
    <col min="6" max="6" width="10.6719" style="1" customWidth="1"/>
    <col min="7" max="7" width="11.5" style="1" customWidth="1"/>
    <col min="8" max="8" width="56.3516" style="1" customWidth="1"/>
    <col min="9" max="9" width="25.5" style="1" customWidth="1"/>
    <col min="10" max="10" width="13.8516" style="1" customWidth="1"/>
    <col min="11" max="11" width="14.5" style="1" customWidth="1"/>
    <col min="12" max="12" width="19.3516" style="1" customWidth="1"/>
    <col min="13" max="13" width="20.1719" style="1" customWidth="1"/>
    <col min="14" max="17" width="9.17188" style="1" customWidth="1"/>
    <col min="18" max="16384" width="8.85156" style="1" customWidth="1"/>
  </cols>
  <sheetData>
    <row r="1" ht="15" customHeight="1">
      <c r="A1" s="2"/>
      <c r="B1" s="2"/>
      <c r="C1" s="2"/>
      <c r="D1" s="3"/>
      <c r="E1" s="3"/>
      <c r="F1" s="2"/>
      <c r="G1" s="2"/>
      <c r="H1" s="3"/>
      <c r="I1" s="3"/>
      <c r="J1" s="3"/>
      <c r="K1" s="3"/>
      <c r="L1" s="3"/>
      <c r="M1" s="2"/>
      <c r="N1" s="2"/>
      <c r="O1" s="2"/>
      <c r="P1" s="2"/>
      <c r="Q1" s="2"/>
    </row>
    <row r="2" ht="15" customHeight="1">
      <c r="A2" s="2"/>
      <c r="B2" s="2"/>
      <c r="C2" s="2"/>
      <c r="D2" s="3"/>
      <c r="E2" s="3"/>
      <c r="F2" s="2"/>
      <c r="G2" s="2"/>
      <c r="H2" s="3"/>
      <c r="I2" s="3"/>
      <c r="J2" s="3"/>
      <c r="K2" s="3"/>
      <c r="L2" s="3"/>
      <c r="M2" s="2"/>
      <c r="N2" s="2"/>
      <c r="O2" s="2"/>
      <c r="P2" s="2"/>
      <c r="Q2" s="2"/>
    </row>
    <row r="3" ht="18.75" customHeight="1">
      <c r="A3" s="2"/>
      <c r="B3" s="2"/>
      <c r="C3" s="2"/>
      <c r="D3" t="s" s="4">
        <v>0</v>
      </c>
      <c r="E3" s="5"/>
      <c r="F3" s="2"/>
      <c r="G3" s="2"/>
      <c r="H3" s="3"/>
      <c r="I3" s="3"/>
      <c r="J3" s="3"/>
      <c r="K3" s="3"/>
      <c r="L3" s="3"/>
      <c r="M3" s="2"/>
      <c r="N3" s="2"/>
      <c r="O3" s="2"/>
      <c r="P3" s="2"/>
      <c r="Q3" s="2"/>
    </row>
    <row r="4" ht="15" customHeight="1">
      <c r="A4" s="2"/>
      <c r="B4" s="2"/>
      <c r="C4" s="2"/>
      <c r="D4" t="s" s="6">
        <v>1</v>
      </c>
      <c r="E4" s="2"/>
      <c r="F4" s="2"/>
      <c r="G4" s="2"/>
      <c r="H4" s="3"/>
      <c r="I4" s="3"/>
      <c r="J4" s="3"/>
      <c r="K4" s="3"/>
      <c r="L4" s="3"/>
      <c r="M4" s="2"/>
      <c r="N4" s="2"/>
      <c r="O4" s="2"/>
      <c r="P4" s="2"/>
      <c r="Q4" s="2"/>
    </row>
    <row r="5" ht="15" customHeight="1">
      <c r="A5" s="2"/>
      <c r="B5" s="2"/>
      <c r="C5" s="2"/>
      <c r="D5" t="s" s="6">
        <v>2</v>
      </c>
      <c r="E5" s="2"/>
      <c r="F5" s="2"/>
      <c r="G5" s="2"/>
      <c r="H5" s="3"/>
      <c r="I5" s="3"/>
      <c r="J5" s="3"/>
      <c r="K5" s="3"/>
      <c r="L5" s="3"/>
      <c r="M5" s="2"/>
      <c r="N5" s="2"/>
      <c r="O5" s="2"/>
      <c r="P5" s="2"/>
      <c r="Q5" s="2"/>
    </row>
    <row r="6" ht="15" customHeight="1">
      <c r="A6" s="2"/>
      <c r="B6" s="2"/>
      <c r="C6" s="2"/>
      <c r="D6" s="3"/>
      <c r="E6" s="3"/>
      <c r="F6" s="2"/>
      <c r="G6" s="2"/>
      <c r="H6" s="3"/>
      <c r="I6" s="3"/>
      <c r="J6" s="3"/>
      <c r="K6" s="3"/>
      <c r="L6" s="3"/>
      <c r="M6" s="2"/>
      <c r="N6" s="2"/>
      <c r="O6" s="2"/>
      <c r="P6" s="2"/>
      <c r="Q6" s="2"/>
    </row>
    <row r="7" ht="15.75" customHeight="1">
      <c r="A7" s="2"/>
      <c r="B7" s="7"/>
      <c r="C7" s="7"/>
      <c r="D7" s="8"/>
      <c r="E7" s="8"/>
      <c r="F7" s="7"/>
      <c r="G7" s="7"/>
      <c r="H7" s="8"/>
      <c r="I7" s="8"/>
      <c r="J7" s="8"/>
      <c r="K7" s="8"/>
      <c r="L7" s="8"/>
      <c r="M7" s="7"/>
      <c r="N7" s="2"/>
      <c r="O7" s="2"/>
      <c r="P7" s="2"/>
      <c r="Q7" s="2"/>
    </row>
    <row r="8" ht="15" customHeight="1">
      <c r="A8" s="2"/>
      <c r="B8" s="9"/>
      <c r="C8" s="9"/>
      <c r="D8" s="10"/>
      <c r="E8" s="10"/>
      <c r="F8" s="9"/>
      <c r="G8" s="9"/>
      <c r="H8" s="10"/>
      <c r="I8" s="10"/>
      <c r="J8" s="10"/>
      <c r="K8" s="10"/>
      <c r="L8" s="10"/>
      <c r="M8" s="9"/>
      <c r="N8" s="2"/>
      <c r="O8" s="2"/>
      <c r="P8" s="2"/>
      <c r="Q8" s="2"/>
    </row>
    <row r="9" ht="15.75" customHeight="1">
      <c r="A9" s="2"/>
      <c r="B9" t="s" s="11">
        <v>3</v>
      </c>
      <c r="C9" s="2"/>
      <c r="D9" t="s" s="12">
        <v>4</v>
      </c>
      <c r="E9" s="13"/>
      <c r="F9" s="2"/>
      <c r="G9" s="2"/>
      <c r="H9" s="3"/>
      <c r="I9" s="3"/>
      <c r="J9" s="3"/>
      <c r="K9" s="3"/>
      <c r="L9" s="3"/>
      <c r="M9" s="2"/>
      <c r="N9" s="2"/>
      <c r="O9" s="2"/>
      <c r="P9" s="2"/>
      <c r="Q9" s="2"/>
    </row>
    <row r="10" ht="15.75" customHeight="1">
      <c r="A10" s="2"/>
      <c r="B10" s="2"/>
      <c r="C10" s="2"/>
      <c r="D10" t="s" s="11">
        <v>5</v>
      </c>
      <c r="E10" s="14"/>
      <c r="F10" s="2"/>
      <c r="G10" s="2"/>
      <c r="H10" s="3"/>
      <c r="I10" s="3"/>
      <c r="J10" s="3"/>
      <c r="K10" s="3"/>
      <c r="L10" s="3"/>
      <c r="M10" s="2"/>
      <c r="N10" s="2"/>
      <c r="O10" s="2"/>
      <c r="P10" s="2"/>
      <c r="Q10" s="2"/>
    </row>
    <row r="11" ht="15.75" customHeight="1">
      <c r="A11" s="2"/>
      <c r="B11" s="2"/>
      <c r="C11" s="2"/>
      <c r="D11" s="15"/>
      <c r="E11" s="15"/>
      <c r="F11" s="2"/>
      <c r="G11" s="2"/>
      <c r="H11" s="3"/>
      <c r="I11" s="3"/>
      <c r="J11" s="3"/>
      <c r="K11" s="3"/>
      <c r="L11" s="3"/>
      <c r="M11" s="2"/>
      <c r="N11" s="2"/>
      <c r="O11" s="2"/>
      <c r="P11" s="2"/>
      <c r="Q11" s="2"/>
    </row>
    <row r="12" ht="18.75" customHeight="1">
      <c r="A12" s="2"/>
      <c r="B12" t="s" s="11">
        <v>6</v>
      </c>
      <c r="C12" s="2"/>
      <c r="D12" t="s" s="16">
        <v>7</v>
      </c>
      <c r="E12" s="5"/>
      <c r="F12" s="2"/>
      <c r="G12" s="2"/>
      <c r="H12" s="3"/>
      <c r="I12" s="3"/>
      <c r="J12" s="3"/>
      <c r="K12" s="13"/>
      <c r="L12" t="s" s="12">
        <v>8</v>
      </c>
      <c r="M12" s="17">
        <v>46000</v>
      </c>
      <c r="N12" s="2"/>
      <c r="O12" s="2"/>
      <c r="P12" s="2"/>
      <c r="Q12" s="2"/>
    </row>
    <row r="13" ht="18.75" customHeight="1">
      <c r="A13" s="2"/>
      <c r="B13" s="14"/>
      <c r="C13" s="18"/>
      <c r="D13" t="s" s="19">
        <v>9</v>
      </c>
      <c r="E13" s="20"/>
      <c r="F13" s="2"/>
      <c r="G13" s="2"/>
      <c r="H13" s="3"/>
      <c r="I13" s="3"/>
      <c r="J13" s="13"/>
      <c r="K13" s="13"/>
      <c r="L13" s="13"/>
      <c r="M13" s="21"/>
      <c r="N13" s="2"/>
      <c r="O13" s="2"/>
      <c r="P13" s="2"/>
      <c r="Q13" s="2"/>
    </row>
    <row r="14" ht="15.75" customHeight="1">
      <c r="A14" s="2"/>
      <c r="B14" s="7"/>
      <c r="C14" s="7"/>
      <c r="D14" s="22"/>
      <c r="E14" s="8"/>
      <c r="F14" s="7"/>
      <c r="G14" s="7"/>
      <c r="H14" s="8"/>
      <c r="I14" s="8"/>
      <c r="J14" s="8"/>
      <c r="K14" s="8"/>
      <c r="L14" s="8"/>
      <c r="M14" s="7"/>
      <c r="N14" s="2"/>
      <c r="O14" s="2"/>
      <c r="P14" s="2"/>
      <c r="Q14" s="2"/>
    </row>
    <row r="15" ht="15" customHeight="1">
      <c r="A15" s="2"/>
      <c r="B15" s="23"/>
      <c r="C15" s="23"/>
      <c r="D15" s="24"/>
      <c r="E15" s="24"/>
      <c r="F15" s="23"/>
      <c r="G15" s="23"/>
      <c r="H15" s="24"/>
      <c r="I15" s="24"/>
      <c r="J15" s="24"/>
      <c r="K15" s="24"/>
      <c r="L15" s="24"/>
      <c r="M15" s="23"/>
      <c r="N15" s="2"/>
      <c r="O15" s="2"/>
      <c r="P15" s="2"/>
      <c r="Q15" s="2"/>
    </row>
    <row r="16" ht="79.5" customHeight="1">
      <c r="A16" s="25"/>
      <c r="B16" s="26"/>
      <c r="C16" t="s" s="27">
        <v>10</v>
      </c>
      <c r="D16" t="s" s="28">
        <v>11</v>
      </c>
      <c r="E16" t="s" s="28">
        <v>12</v>
      </c>
      <c r="F16" t="s" s="27">
        <v>13</v>
      </c>
      <c r="G16" t="s" s="27">
        <v>14</v>
      </c>
      <c r="H16" t="s" s="28">
        <v>15</v>
      </c>
      <c r="I16" t="s" s="28">
        <v>16</v>
      </c>
      <c r="J16" t="s" s="28">
        <v>17</v>
      </c>
      <c r="K16" t="s" s="28">
        <v>18</v>
      </c>
      <c r="L16" t="s" s="28">
        <v>19</v>
      </c>
      <c r="M16" t="s" s="28">
        <v>20</v>
      </c>
      <c r="N16" s="29"/>
      <c r="O16" s="2"/>
      <c r="P16" s="2"/>
      <c r="Q16" s="2"/>
    </row>
    <row r="17" ht="34.5" customHeight="1">
      <c r="A17" s="25"/>
      <c r="B17" s="30"/>
      <c r="C17" s="31"/>
      <c r="D17" s="31"/>
      <c r="E17" s="32"/>
      <c r="F17" s="33"/>
      <c r="G17" s="32"/>
      <c r="H17" s="34"/>
      <c r="I17" s="34"/>
      <c r="J17" s="35"/>
      <c r="K17" s="35" cm="1">
        <f t="array" ref="K17">J17*0.12</f>
        <v>0</v>
      </c>
      <c r="L17" s="35" cm="1">
        <f t="array" ref="L17">SUM(J17:K17)</f>
        <v>0</v>
      </c>
      <c r="M17" s="36" cm="1">
        <f t="array" ref="M17">SUM(F17*L17)</f>
        <v>0</v>
      </c>
      <c r="N17" t="s" s="37">
        <v>21</v>
      </c>
      <c r="O17" s="38"/>
      <c r="P17" s="38"/>
      <c r="Q17" s="38"/>
    </row>
    <row r="18" ht="56.25" customHeight="1">
      <c r="A18" s="25"/>
      <c r="B18" t="s" s="39">
        <v>22</v>
      </c>
      <c r="C18" s="40"/>
      <c r="D18" s="40"/>
      <c r="E18" s="40"/>
      <c r="F18" s="41" cm="1">
        <f t="array" ref="F18">SUM(F17:F17)</f>
        <v>0</v>
      </c>
      <c r="G18" s="42"/>
      <c r="H18" s="42"/>
      <c r="I18" s="42"/>
      <c r="J18" s="43" cm="1">
        <f t="array" ref="J18">SUM(J17:J17)</f>
        <v>0</v>
      </c>
      <c r="K18" s="43" cm="1">
        <f t="array" ref="K18">SUM(K17:K17)</f>
        <v>0</v>
      </c>
      <c r="L18" s="43" cm="1">
        <f t="array" ref="L18">SUM(L17:L17)</f>
        <v>0</v>
      </c>
      <c r="M18" s="43" cm="1">
        <f t="array" ref="M18">SUM(M17:M17)</f>
        <v>0</v>
      </c>
      <c r="N18" s="29"/>
      <c r="O18" s="2"/>
      <c r="P18" s="2"/>
      <c r="Q18" s="2"/>
    </row>
    <row r="19" ht="15" customHeight="1">
      <c r="A19" s="2"/>
      <c r="B19" s="44"/>
      <c r="C19" s="44"/>
      <c r="D19" s="45"/>
      <c r="E19" s="45"/>
      <c r="F19" s="46"/>
      <c r="G19" s="44"/>
      <c r="H19" s="45"/>
      <c r="I19" s="45"/>
      <c r="J19" s="44"/>
      <c r="K19" s="45"/>
      <c r="L19" s="45"/>
      <c r="M19" s="44"/>
      <c r="N19" s="2"/>
      <c r="O19" s="2"/>
      <c r="P19" s="2"/>
      <c r="Q19" s="2"/>
    </row>
    <row r="20" ht="15" customHeight="1">
      <c r="A20" s="2"/>
      <c r="B20" s="2"/>
      <c r="C20" s="2"/>
      <c r="D20" s="3"/>
      <c r="E20" s="3"/>
      <c r="F20" s="2"/>
      <c r="G20" s="2"/>
      <c r="H20" s="3"/>
      <c r="I20" s="3"/>
      <c r="J20" s="2"/>
      <c r="K20" s="3"/>
      <c r="L20" s="3"/>
      <c r="M20" s="2"/>
      <c r="N20" s="2"/>
      <c r="O20" s="2"/>
      <c r="P20" s="2"/>
      <c r="Q20" s="2"/>
    </row>
    <row r="21" ht="15" customHeight="1">
      <c r="A21" s="2"/>
      <c r="B21" s="2"/>
      <c r="C21" t="s" s="47">
        <v>23</v>
      </c>
      <c r="D21" s="48"/>
      <c r="E21" t="s" s="49">
        <v>24</v>
      </c>
      <c r="F21" s="2"/>
      <c r="G21" s="2"/>
      <c r="H21" t="s" s="49">
        <v>25</v>
      </c>
      <c r="I21" s="50"/>
      <c r="J21" s="2"/>
      <c r="K21" s="2"/>
      <c r="L21" s="2"/>
      <c r="M21" s="2"/>
      <c r="N21" s="2"/>
      <c r="O21" s="2"/>
      <c r="P21" s="2"/>
      <c r="Q21" s="2"/>
    </row>
    <row r="22" ht="15" customHeight="1">
      <c r="A22" s="2"/>
      <c r="B22" s="2"/>
      <c r="C22" t="s" s="49">
        <v>26</v>
      </c>
      <c r="D22" s="50"/>
      <c r="E22" s="50"/>
      <c r="F22" s="2"/>
      <c r="G22" s="2"/>
      <c r="H22" s="50"/>
      <c r="I22" s="50"/>
      <c r="J22" s="2"/>
      <c r="K22" s="2"/>
      <c r="L22" s="2"/>
      <c r="M22" s="2"/>
      <c r="N22" s="2"/>
      <c r="O22" s="2"/>
      <c r="P22" s="2"/>
      <c r="Q22" s="2"/>
    </row>
    <row r="23" ht="15" customHeight="1">
      <c r="A23" s="2"/>
      <c r="B23" s="2"/>
      <c r="C23" s="50"/>
      <c r="D23" s="50"/>
      <c r="E23" s="50"/>
      <c r="F23" s="2"/>
      <c r="G23" s="2"/>
      <c r="H23" s="50"/>
      <c r="I23" s="50"/>
      <c r="J23" s="2"/>
      <c r="K23" s="2"/>
      <c r="L23" s="2"/>
      <c r="M23" s="2"/>
      <c r="N23" s="2"/>
      <c r="O23" s="2"/>
      <c r="P23" s="2"/>
      <c r="Q23" s="2"/>
    </row>
    <row r="24" ht="15" customHeight="1">
      <c r="A24" s="2"/>
      <c r="B24" s="2"/>
      <c r="C24" s="50"/>
      <c r="D24" t="s" s="49">
        <v>27</v>
      </c>
      <c r="E24" t="s" s="49">
        <v>28</v>
      </c>
      <c r="F24" s="2"/>
      <c r="G24" s="2"/>
      <c r="H24" s="51"/>
      <c r="I24" s="50"/>
      <c r="J24" s="2"/>
      <c r="K24" s="2"/>
      <c r="L24" s="2"/>
      <c r="M24" s="2"/>
      <c r="N24" s="2"/>
      <c r="O24" s="2"/>
      <c r="P24" s="2"/>
      <c r="Q24" s="2"/>
    </row>
    <row r="25" ht="15.75" customHeight="1">
      <c r="A25" s="2"/>
      <c r="B25" s="14"/>
      <c r="C25" t="s" s="52">
        <v>29</v>
      </c>
      <c r="D25" s="53"/>
      <c r="E25" t="s" s="49">
        <v>30</v>
      </c>
      <c r="F25" s="2"/>
      <c r="G25" s="2"/>
      <c r="H25" t="s" s="54">
        <v>31</v>
      </c>
      <c r="I25" s="55"/>
      <c r="J25" s="2"/>
      <c r="K25" s="2"/>
      <c r="L25" s="2"/>
      <c r="M25" s="2"/>
      <c r="N25" s="2"/>
      <c r="O25" s="2"/>
      <c r="P25" s="2"/>
      <c r="Q25" s="2"/>
    </row>
    <row r="26" ht="15" customHeight="1">
      <c r="A26" s="2"/>
      <c r="B26" s="2"/>
      <c r="C26" t="s" s="47">
        <v>32</v>
      </c>
      <c r="D26" s="48"/>
      <c r="E26" t="s" s="49">
        <v>33</v>
      </c>
      <c r="F26" s="2"/>
      <c r="G26" s="2"/>
      <c r="H26" t="s" s="49">
        <v>34</v>
      </c>
      <c r="I26" s="50"/>
      <c r="J26" s="2"/>
      <c r="K26" s="2"/>
      <c r="L26" s="2"/>
      <c r="M26" s="2"/>
      <c r="N26" s="2"/>
      <c r="O26" s="2"/>
      <c r="P26" s="2"/>
      <c r="Q26" s="2"/>
    </row>
    <row r="27" ht="15" customHeight="1">
      <c r="A27" s="2"/>
      <c r="B27" s="2"/>
      <c r="C27" s="2"/>
      <c r="D27" s="3"/>
      <c r="E27" s="3"/>
      <c r="F27" s="2"/>
      <c r="G27" s="2"/>
      <c r="H27" s="2"/>
      <c r="I27" s="2"/>
      <c r="J27" s="2"/>
      <c r="K27" s="2"/>
      <c r="L27" s="2"/>
      <c r="M27" s="2"/>
      <c r="N27" s="2"/>
      <c r="O27" s="2"/>
      <c r="P27" s="2"/>
      <c r="Q27" s="2"/>
    </row>
    <row r="28" ht="15" customHeight="1">
      <c r="A28" s="2"/>
      <c r="B28" s="2"/>
      <c r="C28" s="2"/>
      <c r="D28" s="2"/>
      <c r="E28" s="2"/>
      <c r="F28" s="2"/>
      <c r="G28" s="2"/>
      <c r="H28" s="2"/>
      <c r="I28" s="2"/>
      <c r="J28" s="2"/>
      <c r="K28" s="2"/>
      <c r="L28" s="2"/>
      <c r="M28" s="2"/>
      <c r="N28" s="2"/>
      <c r="O28" s="2"/>
      <c r="P28" s="2"/>
      <c r="Q28" s="2"/>
    </row>
    <row r="29" ht="15" customHeight="1">
      <c r="A29" s="2"/>
      <c r="B29" s="2"/>
      <c r="C29" s="2"/>
      <c r="D29" s="2"/>
      <c r="E29" s="2"/>
      <c r="F29" s="2"/>
      <c r="G29" s="2"/>
      <c r="H29" s="2"/>
      <c r="I29" s="2"/>
      <c r="J29" s="2"/>
      <c r="K29" s="2"/>
      <c r="L29" s="2"/>
      <c r="M29" s="2"/>
      <c r="N29" s="2"/>
      <c r="O29" s="2"/>
      <c r="P29" s="2"/>
      <c r="Q29" s="2"/>
    </row>
    <row r="30" ht="15.75" customHeight="1">
      <c r="A30" s="2"/>
      <c r="B30" t="s" s="56">
        <v>35</v>
      </c>
      <c r="C30" s="2"/>
      <c r="D30" s="2"/>
      <c r="E30" s="2"/>
      <c r="F30" s="2"/>
      <c r="G30" s="2"/>
      <c r="H30" s="2"/>
      <c r="I30" s="2"/>
      <c r="J30" s="2"/>
      <c r="K30" s="2"/>
      <c r="L30" s="2"/>
      <c r="M30" s="2"/>
      <c r="N30" s="2"/>
      <c r="O30" s="2"/>
      <c r="P30" s="2"/>
      <c r="Q30" s="2"/>
    </row>
    <row r="31" ht="89.1" customHeight="1">
      <c r="A31" s="2"/>
      <c r="B31" t="s" s="57">
        <v>36</v>
      </c>
      <c r="C31" s="58"/>
      <c r="D31" s="58"/>
      <c r="E31" s="58"/>
      <c r="F31" s="58"/>
      <c r="G31" s="58"/>
      <c r="H31" s="58"/>
      <c r="I31" s="58"/>
      <c r="J31" s="58"/>
      <c r="K31" s="58"/>
      <c r="L31" s="58"/>
      <c r="M31" s="58"/>
      <c r="N31" s="2"/>
      <c r="O31" s="2"/>
      <c r="P31" s="2"/>
      <c r="Q31" s="2"/>
    </row>
  </sheetData>
  <mergeCells count="5">
    <mergeCell ref="B18:D18"/>
    <mergeCell ref="B31:M31"/>
    <mergeCell ref="C21:D21"/>
    <mergeCell ref="C25:D25"/>
    <mergeCell ref="C26:D26"/>
  </mergeCells>
  <pageMargins left="0.56" right="0.27" top="0.3" bottom="0.43" header="0.23" footer="0.2"/>
  <pageSetup firstPageNumber="1" fitToHeight="1" fitToWidth="1" scale="67" useFirstPageNumber="0" orientation="landscape"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